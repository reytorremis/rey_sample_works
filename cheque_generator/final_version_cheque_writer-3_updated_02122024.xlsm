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y\Documents\"/>
    </mc:Choice>
  </mc:AlternateContent>
  <xr:revisionPtr revIDLastSave="0" documentId="13_ncr:1_{C76A12AA-AFDF-4745-A110-D48D6A8025C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heque Editor" sheetId="2" r:id="rId1"/>
    <sheet name="Changelogs" sheetId="3" r:id="rId2"/>
    <sheet name="Cheque Print" sheetId="1" r:id="rId3"/>
  </sheets>
  <functionGroups builtInGroupCount="19"/>
  <definedNames>
    <definedName name="_xlnm.Print_Area" localSheetId="0">'Cheque Editor'!#REF!</definedName>
    <definedName name="_xlnm.Print_Area" localSheetId="2">'Cheque Print'!$A$3:$Y$14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2" l="1"/>
  <c r="F19" i="2" s="1"/>
  <c r="D10" i="2"/>
  <c r="E10" i="2"/>
  <c r="B3" i="3"/>
  <c r="E24" i="2"/>
  <c r="G14" i="2"/>
  <c r="E14" i="2" s="1"/>
  <c r="N5" i="1" s="1"/>
  <c r="I22" i="2"/>
  <c r="J22" i="2"/>
  <c r="J12" i="2"/>
  <c r="G13" i="2"/>
  <c r="D5" i="1" s="1"/>
  <c r="Z12" i="1"/>
  <c r="AA12" i="1" s="1"/>
  <c r="AG12" i="1"/>
  <c r="AS9" i="2"/>
  <c r="AT9" i="2" s="1"/>
  <c r="AO9" i="2"/>
  <c r="AP9" i="2" s="1"/>
  <c r="AL9" i="2"/>
  <c r="AM9" i="2" s="1"/>
  <c r="R6" i="2"/>
  <c r="R4" i="2" s="1"/>
  <c r="E15" i="2" a="1"/>
  <c r="E16" i="2" a="1"/>
  <c r="G18" i="2" l="1"/>
  <c r="E16" i="2"/>
  <c r="E15" i="2"/>
  <c r="AB12" i="1"/>
  <c r="AB13" i="1"/>
  <c r="AW9" i="2"/>
  <c r="AY9" i="2" s="1"/>
  <c r="AN9" i="2"/>
  <c r="S4" i="2"/>
  <c r="T4" i="2" s="1"/>
  <c r="Y4" i="2"/>
  <c r="AR9" i="2"/>
  <c r="AQ9" i="2"/>
  <c r="AU9" i="2"/>
  <c r="AV9" i="2"/>
  <c r="H21" i="2" l="1"/>
  <c r="G21" i="2"/>
  <c r="F21" i="2"/>
  <c r="F22" i="2" s="1"/>
  <c r="F18" i="2"/>
  <c r="H22" i="2"/>
  <c r="G22" i="2"/>
  <c r="C7" i="1"/>
  <c r="AC13" i="1"/>
  <c r="AD13" i="1" s="1"/>
  <c r="Z14" i="1"/>
  <c r="AA14" i="1" s="1"/>
  <c r="AX9" i="2"/>
  <c r="U4" i="2"/>
  <c r="V4" i="2" s="1"/>
  <c r="F17" i="2" l="1"/>
  <c r="F12" i="2" s="1" a="1"/>
  <c r="F12" i="2" s="1"/>
  <c r="O3" i="1" s="1"/>
  <c r="AB14" i="1"/>
  <c r="AE13" i="1"/>
  <c r="AF13" i="1" s="1"/>
  <c r="AG13" i="1" s="1"/>
  <c r="R3" i="2"/>
  <c r="S3" i="2" s="1"/>
  <c r="T3" i="2" l="1"/>
  <c r="AH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<sst xmlns="http://schemas.openxmlformats.org/spreadsheetml/2006/main" count="44" uniqueCount="42">
  <si>
    <t xml:space="preserve">     </t>
  </si>
  <si>
    <t>Don’t change This Area</t>
  </si>
  <si>
    <t xml:space="preserve">One </t>
  </si>
  <si>
    <t xml:space="preserve">Two </t>
  </si>
  <si>
    <t xml:space="preserve">Three </t>
  </si>
  <si>
    <t xml:space="preserve">Four </t>
  </si>
  <si>
    <t xml:space="preserve">Five </t>
  </si>
  <si>
    <t xml:space="preserve">Six </t>
  </si>
  <si>
    <t xml:space="preserve">Ten </t>
  </si>
  <si>
    <t xml:space="preserve">Sixteen </t>
  </si>
  <si>
    <t xml:space="preserve">Seventeen </t>
  </si>
  <si>
    <t xml:space="preserve">Thirty </t>
  </si>
  <si>
    <t xml:space="preserve">Seventy </t>
  </si>
  <si>
    <t xml:space="preserve"> </t>
  </si>
  <si>
    <t xml:space="preserve">Forty </t>
  </si>
  <si>
    <t>Eighteen</t>
  </si>
  <si>
    <t>Name</t>
  </si>
  <si>
    <t>Eighty</t>
  </si>
  <si>
    <t>Cheque Amount:</t>
  </si>
  <si>
    <t>Cheque Date:</t>
  </si>
  <si>
    <t xml:space="preserve">Developed by www.TechGuruPlus.com </t>
  </si>
  <si>
    <t>Value</t>
  </si>
  <si>
    <t>Decimal</t>
  </si>
  <si>
    <t>Modified by RLT - Spell Fxn - 07/14/2023</t>
  </si>
  <si>
    <t>Recipient</t>
  </si>
  <si>
    <t>Amt</t>
  </si>
  <si>
    <t>Amt Name</t>
  </si>
  <si>
    <t>Sofia the First</t>
  </si>
  <si>
    <t>date</t>
  </si>
  <si>
    <t>Display Style</t>
  </si>
  <si>
    <t>display</t>
  </si>
  <si>
    <t>Spread</t>
  </si>
  <si>
    <t>&gt;</t>
  </si>
  <si>
    <t>spread:</t>
  </si>
  <si>
    <t>slash:</t>
  </si>
  <si>
    <t>default:</t>
  </si>
  <si>
    <r>
      <t xml:space="preserve">Only edit those in </t>
    </r>
    <r>
      <rPr>
        <sz val="11"/>
        <color rgb="FFFF0000"/>
        <rFont val="Times New Roman"/>
        <family val="1"/>
      </rPr>
      <t>red</t>
    </r>
    <r>
      <rPr>
        <sz val="11"/>
        <color theme="1"/>
        <rFont val="Times New Roman"/>
        <family val="1"/>
      </rPr>
      <t xml:space="preserve">. </t>
    </r>
  </si>
  <si>
    <t>Version Realease November</t>
  </si>
  <si>
    <t xml:space="preserve">Version 1.1 - Change error to warning </t>
  </si>
  <si>
    <t>Input</t>
  </si>
  <si>
    <t>Date Reading</t>
  </si>
  <si>
    <t>Date (MM/DD/YYYY)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</si>
</sst>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mm\-dd\-yyyy"/>
    <numFmt numFmtId="167" formatCode="mm/dd/yyyy"/>
    <numFmt numFmtId="168" formatCode="[$-3409]mmmm\ dd\,\ yyyy;@"/>
  </numFmts>
  <fonts count="3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4"/>
      <name val="Garamond"/>
      <family val="1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0"/>
      <color theme="1"/>
      <name val="Times New Roman"/>
      <family val="1"/>
    </font>
    <font>
      <sz val="13.5"/>
      <color theme="1"/>
      <name val="Times New Roman"/>
      <family val="1"/>
    </font>
    <font>
      <sz val="13.5"/>
      <color theme="1"/>
      <name val="Arial"/>
      <family val="2"/>
    </font>
    <font>
      <b/>
      <sz val="13.5"/>
      <color theme="1"/>
      <name val="Arial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15"/>
      <color theme="1"/>
      <name val="Arial"/>
      <family val="2"/>
    </font>
    <font>
      <b/>
      <sz val="15"/>
      <color theme="1"/>
      <name val="Arial"/>
      <family val="2"/>
    </font>
    <font>
      <b/>
      <i/>
      <sz val="15"/>
      <color theme="1"/>
      <name val="Arial"/>
      <family val="2"/>
    </font>
    <font>
      <b/>
      <sz val="10"/>
      <color theme="1"/>
      <name val="Times New Roman"/>
      <family val="1"/>
    </font>
    <font>
      <sz val="11"/>
      <color theme="0"/>
      <name val="Calibri"/>
      <family val="2"/>
    </font>
    <font>
      <sz val="10"/>
      <color theme="0"/>
      <name val="Arial"/>
      <family val="2"/>
    </font>
    <font>
      <sz val="10"/>
      <color theme="0"/>
      <name val="Times New Roman"/>
      <family val="1"/>
    </font>
    <font>
      <b/>
      <i/>
      <sz val="14"/>
      <color theme="0"/>
      <name val="Times New Roman"/>
      <family val="1"/>
    </font>
    <font>
      <b/>
      <sz val="11"/>
      <color theme="1"/>
      <name val="Times New Roman"/>
      <family val="1"/>
    </font>
    <font>
      <sz val="10"/>
      <color rgb="FFFFFF00"/>
      <name val="Times New Roman"/>
      <family val="1"/>
    </font>
    <font>
      <b/>
      <sz val="10"/>
      <color theme="1"/>
      <name val="Calibri"/>
      <family val="2"/>
      <scheme val="minor"/>
    </font>
    <font>
      <sz val="10"/>
      <color rgb="FFFFFF00"/>
      <name val="Arial"/>
      <family val="2"/>
    </font>
    <font>
      <b/>
      <sz val="11"/>
      <color theme="1"/>
      <name val="Calibri"/>
      <family val="2"/>
    </font>
    <font>
      <sz val="11"/>
      <color rgb="FFFF0000"/>
      <name val="Arial"/>
      <family val="2"/>
    </font>
    <font>
      <b/>
      <sz val="10"/>
      <color theme="1"/>
      <name val="Arial"/>
      <family val="2"/>
    </font>
    <font>
      <b/>
      <sz val="18"/>
      <color theme="1"/>
      <name val="Arial"/>
      <family val="2"/>
    </font>
    <font>
      <sz val="14"/>
      <color theme="1"/>
      <name val="Times New Roman"/>
      <family val="1"/>
    </font>
    <font>
      <b/>
      <sz val="11"/>
      <name val="Arial"/>
      <family val="2"/>
    </font>
    <font>
      <sz val="11"/>
      <color rgb="FFFF0000"/>
      <name val="Times New Roman"/>
      <family val="1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114">
    <xf numFmtId="0" fontId="0" fillId="0" borderId="0" xfId="0"/>
    <xf numFmtId="0" fontId="8" fillId="2" borderId="0" xfId="0" applyFont="1" applyFill="1" applyProtection="1">
      <protection locked="0"/>
    </xf>
    <xf numFmtId="0" fontId="8" fillId="0" borderId="0" xfId="0" applyFont="1" applyProtection="1">
      <protection locked="0"/>
    </xf>
    <xf numFmtId="0" fontId="18" fillId="3" borderId="7" xfId="0" applyFont="1" applyFill="1" applyBorder="1" applyAlignment="1" applyProtection="1">
      <alignment horizontal="center" vertical="center"/>
      <protection locked="0"/>
    </xf>
    <xf numFmtId="1" fontId="18" fillId="3" borderId="7" xfId="0" applyNumberFormat="1" applyFont="1" applyFill="1" applyBorder="1" applyAlignment="1" applyProtection="1">
      <alignment horizontal="center" vertical="center"/>
      <protection locked="0"/>
    </xf>
    <xf numFmtId="0" fontId="19" fillId="3" borderId="8" xfId="0" applyFont="1" applyFill="1" applyBorder="1" applyAlignment="1" applyProtection="1">
      <alignment horizontal="center" vertical="center"/>
      <protection locked="0"/>
    </xf>
    <xf numFmtId="0" fontId="19" fillId="3" borderId="7" xfId="0" applyFont="1" applyFill="1" applyBorder="1" applyAlignment="1" applyProtection="1">
      <alignment horizontal="center" vertical="center"/>
      <protection locked="0"/>
    </xf>
    <xf numFmtId="0" fontId="18" fillId="3" borderId="7" xfId="0" applyFont="1" applyFill="1" applyBorder="1" applyProtection="1">
      <protection locked="0"/>
    </xf>
    <xf numFmtId="0" fontId="20" fillId="3" borderId="1" xfId="0" applyFont="1" applyFill="1" applyBorder="1" applyProtection="1">
      <protection locked="0"/>
    </xf>
    <xf numFmtId="0" fontId="8" fillId="4" borderId="1" xfId="0" applyFont="1" applyFill="1" applyBorder="1" applyProtection="1">
      <protection locked="0"/>
    </xf>
    <xf numFmtId="0" fontId="8" fillId="0" borderId="1" xfId="0" applyFont="1" applyBorder="1" applyProtection="1">
      <protection locked="0"/>
    </xf>
    <xf numFmtId="0" fontId="19" fillId="3" borderId="6" xfId="0" applyFont="1" applyFill="1" applyBorder="1" applyAlignment="1" applyProtection="1">
      <alignment horizontal="center" vertical="center"/>
      <protection locked="0"/>
    </xf>
    <xf numFmtId="0" fontId="20" fillId="3" borderId="0" xfId="0" applyFont="1" applyFill="1" applyProtection="1">
      <protection locked="0"/>
    </xf>
    <xf numFmtId="0" fontId="8" fillId="4" borderId="0" xfId="0" applyFont="1" applyFill="1" applyProtection="1">
      <protection locked="0"/>
    </xf>
    <xf numFmtId="0" fontId="18" fillId="3" borderId="0" xfId="0" applyFont="1" applyFill="1" applyProtection="1">
      <protection locked="0"/>
    </xf>
    <xf numFmtId="1" fontId="18" fillId="3" borderId="0" xfId="0" applyNumberFormat="1" applyFont="1" applyFill="1" applyAlignment="1" applyProtection="1">
      <alignment horizontal="center"/>
      <protection locked="0"/>
    </xf>
    <xf numFmtId="0" fontId="19" fillId="3" borderId="0" xfId="0" applyFont="1" applyFill="1" applyProtection="1"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9" fillId="3" borderId="6" xfId="0" applyFont="1" applyFill="1" applyBorder="1" applyProtection="1">
      <protection locked="0"/>
    </xf>
    <xf numFmtId="1" fontId="18" fillId="3" borderId="6" xfId="0" applyNumberFormat="1" applyFont="1" applyFill="1" applyBorder="1" applyAlignment="1" applyProtection="1">
      <alignment horizontal="center"/>
      <protection locked="0"/>
    </xf>
    <xf numFmtId="1" fontId="18" fillId="3" borderId="6" xfId="0" applyNumberFormat="1" applyFont="1" applyFill="1" applyBorder="1" applyProtection="1">
      <protection locked="0"/>
    </xf>
    <xf numFmtId="1" fontId="21" fillId="3" borderId="0" xfId="0" applyNumberFormat="1" applyFont="1" applyFill="1" applyAlignment="1" applyProtection="1">
      <alignment horizontal="center" vertical="center"/>
      <protection locked="0"/>
    </xf>
    <xf numFmtId="0" fontId="21" fillId="3" borderId="0" xfId="0" applyFont="1" applyFill="1" applyAlignment="1" applyProtection="1">
      <alignment vertical="center"/>
      <protection locked="0"/>
    </xf>
    <xf numFmtId="0" fontId="21" fillId="3" borderId="6" xfId="0" applyFont="1" applyFill="1" applyBorder="1" applyAlignment="1" applyProtection="1">
      <alignment vertical="center"/>
      <protection locked="0"/>
    </xf>
    <xf numFmtId="0" fontId="21" fillId="3" borderId="0" xfId="0" applyFont="1" applyFill="1" applyAlignment="1" applyProtection="1">
      <alignment horizontal="center" vertical="center"/>
      <protection locked="0"/>
    </xf>
    <xf numFmtId="1" fontId="19" fillId="3" borderId="0" xfId="0" applyNumberFormat="1" applyFont="1" applyFill="1" applyAlignment="1" applyProtection="1">
      <alignment horizontal="center"/>
      <protection locked="0"/>
    </xf>
    <xf numFmtId="0" fontId="8" fillId="0" borderId="2" xfId="0" applyFont="1" applyBorder="1" applyProtection="1">
      <protection locked="0"/>
    </xf>
    <xf numFmtId="0" fontId="13" fillId="0" borderId="0" xfId="0" applyFont="1" applyProtection="1">
      <protection locked="0"/>
    </xf>
    <xf numFmtId="1" fontId="13" fillId="0" borderId="0" xfId="0" applyNumberFormat="1" applyFont="1" applyAlignment="1" applyProtection="1">
      <alignment horizontal="center"/>
      <protection locked="0"/>
    </xf>
    <xf numFmtId="0" fontId="13" fillId="0" borderId="6" xfId="0" applyFont="1" applyBorder="1" applyAlignment="1" applyProtection="1">
      <alignment horizontal="center" vertic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3" fillId="0" borderId="6" xfId="0" applyFont="1" applyBorder="1" applyProtection="1">
      <protection locked="0"/>
    </xf>
    <xf numFmtId="1" fontId="18" fillId="3" borderId="0" xfId="0" applyNumberFormat="1" applyFont="1" applyFill="1" applyProtection="1">
      <protection locked="0"/>
    </xf>
    <xf numFmtId="0" fontId="23" fillId="5" borderId="10" xfId="0" applyFont="1" applyFill="1" applyBorder="1" applyProtection="1">
      <protection locked="0"/>
    </xf>
    <xf numFmtId="0" fontId="23" fillId="5" borderId="3" xfId="0" applyFont="1" applyFill="1" applyBorder="1" applyProtection="1">
      <protection locked="0"/>
    </xf>
    <xf numFmtId="0" fontId="23" fillId="5" borderId="5" xfId="0" applyFont="1" applyFill="1" applyBorder="1" applyProtection="1">
      <protection locked="0"/>
    </xf>
    <xf numFmtId="0" fontId="23" fillId="5" borderId="1" xfId="0" applyFont="1" applyFill="1" applyBorder="1" applyProtection="1">
      <protection locked="0"/>
    </xf>
    <xf numFmtId="0" fontId="8" fillId="5" borderId="4" xfId="0" applyFont="1" applyFill="1" applyBorder="1" applyProtection="1">
      <protection locked="0"/>
    </xf>
    <xf numFmtId="0" fontId="8" fillId="5" borderId="0" xfId="0" applyFont="1" applyFill="1" applyProtection="1">
      <protection locked="0"/>
    </xf>
    <xf numFmtId="0" fontId="8" fillId="5" borderId="1" xfId="0" applyFont="1" applyFill="1" applyBorder="1" applyProtection="1">
      <protection locked="0"/>
    </xf>
    <xf numFmtId="0" fontId="7" fillId="5" borderId="6" xfId="0" applyFont="1" applyFill="1" applyBorder="1" applyAlignment="1" applyProtection="1">
      <alignment horizontal="left" vertical="center"/>
      <protection locked="0"/>
    </xf>
    <xf numFmtId="0" fontId="7" fillId="0" borderId="9" xfId="0" applyFont="1" applyBorder="1" applyAlignment="1" applyProtection="1">
      <alignment horizontal="left" vertical="center"/>
      <protection locked="0"/>
    </xf>
    <xf numFmtId="0" fontId="6" fillId="5" borderId="0" xfId="0" applyFont="1" applyFill="1" applyProtection="1">
      <protection locked="0"/>
    </xf>
    <xf numFmtId="0" fontId="8" fillId="5" borderId="5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7" fillId="5" borderId="0" xfId="0" applyFont="1" applyFill="1" applyProtection="1">
      <protection locked="0"/>
    </xf>
    <xf numFmtId="0" fontId="22" fillId="5" borderId="0" xfId="0" applyFont="1" applyFill="1" applyProtection="1">
      <protection locked="0"/>
    </xf>
    <xf numFmtId="0" fontId="23" fillId="5" borderId="0" xfId="0" applyFont="1" applyFill="1" applyProtection="1">
      <protection locked="0"/>
    </xf>
    <xf numFmtId="0" fontId="6" fillId="5" borderId="9" xfId="0" applyFont="1" applyFill="1" applyBorder="1" applyProtection="1">
      <protection locked="0"/>
    </xf>
    <xf numFmtId="0" fontId="7" fillId="0" borderId="11" xfId="0" applyFont="1" applyBorder="1" applyAlignment="1" applyProtection="1">
      <alignment horizontal="left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14" fontId="8" fillId="0" borderId="0" xfId="0" applyNumberFormat="1" applyFont="1" applyProtection="1">
      <protection locked="0"/>
    </xf>
    <xf numFmtId="165" fontId="31" fillId="0" borderId="4" xfId="1" applyNumberFormat="1" applyFont="1" applyBorder="1" applyAlignment="1" applyProtection="1">
      <alignment horizontal="left" vertical="center"/>
      <protection locked="0"/>
    </xf>
    <xf numFmtId="14" fontId="27" fillId="0" borderId="12" xfId="0" applyNumberFormat="1" applyFont="1" applyBorder="1" applyAlignment="1" applyProtection="1">
      <alignment horizontal="center" vertical="center"/>
      <protection locked="0"/>
    </xf>
    <xf numFmtId="165" fontId="27" fillId="0" borderId="12" xfId="1" applyNumberFormat="1" applyFont="1" applyBorder="1" applyAlignment="1" applyProtection="1">
      <alignment horizontal="left" vertical="center"/>
      <protection locked="0"/>
    </xf>
    <xf numFmtId="166" fontId="8" fillId="0" borderId="0" xfId="0" applyNumberFormat="1" applyFont="1" applyProtection="1">
      <protection locked="0"/>
    </xf>
    <xf numFmtId="165" fontId="31" fillId="0" borderId="10" xfId="1" applyNumberFormat="1" applyFont="1" applyBorder="1" applyAlignment="1" applyProtection="1">
      <alignment horizontal="center" vertical="center"/>
      <protection locked="0"/>
    </xf>
    <xf numFmtId="165" fontId="31" fillId="0" borderId="3" xfId="1" applyNumberFormat="1" applyFont="1" applyBorder="1" applyAlignment="1" applyProtection="1">
      <alignment horizontal="center" vertical="center"/>
      <protection locked="0"/>
    </xf>
    <xf numFmtId="0" fontId="23" fillId="0" borderId="0" xfId="0" applyFont="1"/>
    <xf numFmtId="0" fontId="25" fillId="0" borderId="0" xfId="2" applyNumberFormat="1" applyFont="1" applyFill="1" applyBorder="1" applyAlignment="1" applyProtection="1">
      <alignment horizontal="right"/>
    </xf>
    <xf numFmtId="0" fontId="8" fillId="5" borderId="0" xfId="0" applyFont="1" applyFill="1"/>
    <xf numFmtId="0" fontId="8" fillId="0" borderId="0" xfId="0" applyFont="1"/>
    <xf numFmtId="0" fontId="8" fillId="2" borderId="0" xfId="0" applyFont="1" applyFill="1"/>
    <xf numFmtId="0" fontId="24" fillId="0" borderId="0" xfId="0" applyFont="1" applyAlignment="1">
      <alignment horizontal="left" vertical="center" textRotation="30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9" fillId="0" borderId="0" xfId="0" applyFont="1" applyAlignment="1">
      <alignment horizontal="center"/>
    </xf>
    <xf numFmtId="0" fontId="11" fillId="0" borderId="0" xfId="0" applyFont="1" applyAlignment="1">
      <alignment vertical="top"/>
    </xf>
    <xf numFmtId="0" fontId="11" fillId="0" borderId="0" xfId="0" applyFont="1" applyAlignment="1">
      <alignment horizontal="center" vertical="top"/>
    </xf>
    <xf numFmtId="0" fontId="12" fillId="2" borderId="0" xfId="0" applyFont="1" applyFill="1"/>
    <xf numFmtId="0" fontId="8" fillId="0" borderId="0" xfId="0" applyFont="1" applyAlignment="1">
      <alignment horizontal="right"/>
    </xf>
    <xf numFmtId="0" fontId="10" fillId="0" borderId="0" xfId="0" applyFont="1" applyAlignment="1">
      <alignment horizontal="right"/>
    </xf>
    <xf numFmtId="0" fontId="12" fillId="2" borderId="6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right"/>
    </xf>
    <xf numFmtId="0" fontId="8" fillId="2" borderId="0" xfId="0" applyFont="1" applyFill="1" applyAlignment="1">
      <alignment horizontal="right"/>
    </xf>
    <xf numFmtId="0" fontId="14" fillId="0" borderId="0" xfId="0" applyFont="1"/>
    <xf numFmtId="0" fontId="12" fillId="2" borderId="6" xfId="0" applyFont="1" applyFill="1" applyBorder="1"/>
    <xf numFmtId="0" fontId="5" fillId="0" borderId="0" xfId="0" applyFont="1"/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right" indent="1"/>
    </xf>
    <xf numFmtId="0" fontId="16" fillId="0" borderId="0" xfId="0" applyFont="1" applyAlignment="1">
      <alignment horizontal="left"/>
    </xf>
    <xf numFmtId="0" fontId="17" fillId="0" borderId="0" xfId="0" applyFont="1"/>
    <xf numFmtId="0" fontId="8" fillId="0" borderId="2" xfId="0" applyFont="1" applyBorder="1"/>
    <xf numFmtId="0" fontId="1" fillId="0" borderId="0" xfId="0" applyFont="1"/>
    <xf numFmtId="167" fontId="27" fillId="0" borderId="10" xfId="0" applyNumberFormat="1" applyFont="1" applyBorder="1" applyAlignment="1" applyProtection="1">
      <alignment vertical="center"/>
      <protection locked="0"/>
    </xf>
    <xf numFmtId="168" fontId="33" fillId="0" borderId="3" xfId="0" applyNumberFormat="1" applyFont="1" applyBorder="1" applyAlignment="1">
      <alignment vertical="center"/>
    </xf>
    <xf numFmtId="14" fontId="8" fillId="5" borderId="0" xfId="0" applyNumberFormat="1" applyFont="1" applyFill="1" applyProtection="1">
      <protection locked="0"/>
    </xf>
    <xf numFmtId="14" fontId="8" fillId="0" borderId="0" xfId="0" applyNumberFormat="1" applyFont="1"/>
    <xf numFmtId="165" fontId="8" fillId="0" borderId="0" xfId="0" applyNumberFormat="1" applyFont="1" applyAlignment="1" applyProtection="1">
      <alignment horizontal="center"/>
      <protection locked="0"/>
    </xf>
    <xf numFmtId="165" fontId="31" fillId="0" borderId="10" xfId="1" applyNumberFormat="1" applyFont="1" applyBorder="1" applyAlignment="1" applyProtection="1">
      <alignment horizontal="center" vertical="center"/>
      <protection locked="0"/>
    </xf>
    <xf numFmtId="165" fontId="31" fillId="0" borderId="3" xfId="1" applyNumberFormat="1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left" vertical="center"/>
      <protection locked="0"/>
    </xf>
    <xf numFmtId="0" fontId="7" fillId="0" borderId="11" xfId="0" applyFont="1" applyBorder="1" applyAlignment="1" applyProtection="1">
      <alignment horizontal="left" vertical="center"/>
      <protection locked="0"/>
    </xf>
    <xf numFmtId="165" fontId="27" fillId="0" borderId="12" xfId="1" applyNumberFormat="1" applyFont="1" applyBorder="1" applyAlignment="1" applyProtection="1">
      <alignment horizontal="left" vertical="center"/>
      <protection locked="0"/>
    </xf>
    <xf numFmtId="0" fontId="0" fillId="0" borderId="0" xfId="0"/>
    <xf numFmtId="0" fontId="27" fillId="0" borderId="10" xfId="0" applyFont="1" applyBorder="1" applyAlignment="1" applyProtection="1">
      <alignment horizontal="left" vertical="center" wrapText="1"/>
      <protection locked="0"/>
    </xf>
    <xf numFmtId="0" fontId="27" fillId="0" borderId="3" xfId="0" applyFont="1" applyBorder="1" applyAlignment="1" applyProtection="1">
      <alignment horizontal="left" vertical="center" wrapText="1"/>
      <protection locked="0"/>
    </xf>
    <xf numFmtId="0" fontId="27" fillId="0" borderId="13" xfId="0" applyFont="1" applyBorder="1" applyAlignment="1" applyProtection="1">
      <alignment horizontal="left" vertical="center" wrapText="1"/>
      <protection locked="0"/>
    </xf>
    <xf numFmtId="0" fontId="4" fillId="0" borderId="3" xfId="2" applyFont="1" applyFill="1" applyBorder="1" applyAlignment="1" applyProtection="1">
      <alignment horizontal="left"/>
    </xf>
    <xf numFmtId="0" fontId="7" fillId="0" borderId="12" xfId="0" applyFont="1" applyBorder="1" applyAlignment="1" applyProtection="1">
      <alignment horizontal="center" vertical="center"/>
      <protection locked="0"/>
    </xf>
    <xf numFmtId="0" fontId="26" fillId="2" borderId="0" xfId="0" applyFont="1" applyFill="1" applyAlignment="1">
      <alignment horizontal="center"/>
    </xf>
    <xf numFmtId="0" fontId="9" fillId="0" borderId="0" xfId="0" applyFont="1" applyAlignment="1">
      <alignment horizontal="left"/>
    </xf>
    <xf numFmtId="0" fontId="28" fillId="0" borderId="0" xfId="0" applyFont="1" applyAlignment="1">
      <alignment horizontal="left" vertical="center"/>
    </xf>
    <xf numFmtId="164" fontId="29" fillId="0" borderId="0" xfId="1" applyFont="1" applyAlignment="1" applyProtection="1">
      <alignment horizontal="left" vertical="top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center"/>
    </xf>
    <xf numFmtId="0" fontId="11" fillId="0" borderId="0" xfId="1" applyNumberFormat="1" applyFont="1" applyFill="1" applyAlignment="1" applyProtection="1">
      <alignment horizontal="center" vertical="center"/>
    </xf>
    <xf numFmtId="0" fontId="11" fillId="0" borderId="0" xfId="0" applyFont="1" applyAlignment="1">
      <alignment horizontal="right"/>
    </xf>
    <xf numFmtId="0" fontId="24" fillId="0" borderId="0" xfId="0" applyFont="1" applyAlignment="1">
      <alignment horizontal="left" vertical="center" textRotation="30"/>
    </xf>
    <xf numFmtId="0" fontId="30" fillId="0" borderId="0" xfId="0" applyFont="1" applyAlignment="1">
      <alignment horizontal="center" vertic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39"/>
  <sheetViews>
    <sheetView showGridLines="0" zoomScaleNormal="100" zoomScaleSheetLayoutView="120" workbookViewId="0">
      <selection activeCell="G2" sqref="G2:P2"/>
    </sheetView>
  </sheetViews>
  <sheetFormatPr defaultColWidth="0" defaultRowHeight="0" customHeight="1" zeroHeight="1" x14ac:dyDescent="0.25"/>
  <cols>
    <col min="1" max="1" width="4.33203125" style="26" customWidth="1"/>
    <col min="2" max="2" width="6.6640625" style="2" customWidth="1"/>
    <col min="3" max="3" width="12.6640625" style="2" customWidth="1"/>
    <col min="4" max="4" width="20.109375" style="2" customWidth="1"/>
    <col min="5" max="5" width="24" style="2" customWidth="1"/>
    <col min="6" max="6" width="15.88671875" style="2" customWidth="1"/>
    <col min="7" max="7" width="19.88671875" style="2" customWidth="1"/>
    <col min="8" max="8" width="4.33203125" style="2" customWidth="1"/>
    <col min="9" max="10" width="3" style="2" customWidth="1"/>
    <col min="11" max="11" width="2.88671875" style="2" customWidth="1"/>
    <col min="12" max="12" width="2.6640625" style="2" customWidth="1"/>
    <col min="13" max="15" width="3" style="2" customWidth="1"/>
    <col min="16" max="16" width="3.5546875" style="2" customWidth="1"/>
    <col min="17" max="17" width="1.33203125" style="2" customWidth="1"/>
    <col min="18" max="24" width="9.109375" style="2" hidden="1" customWidth="1"/>
    <col min="25" max="25" width="23.5546875" style="2" hidden="1" customWidth="1"/>
    <col min="26" max="26" width="66.44140625" style="2" hidden="1" customWidth="1"/>
    <col min="27" max="38" width="9.109375" style="2" hidden="1" customWidth="1"/>
    <col min="39" max="40" width="1.88671875" style="2" hidden="1" customWidth="1"/>
    <col min="41" max="50" width="9.109375" style="2" hidden="1" customWidth="1"/>
    <col min="51" max="51" width="0.6640625" style="2" hidden="1" customWidth="1"/>
    <col min="52" max="52" width="1.5546875" style="2" hidden="1" customWidth="1"/>
    <col min="53" max="53" width="9.109375" style="2" hidden="1" customWidth="1"/>
    <col min="54" max="16384" width="9.109375" style="2" hidden="1"/>
  </cols>
  <sheetData>
    <row r="1" spans="1:53" ht="12.75" customHeight="1" thickBot="1" x14ac:dyDescent="0.3">
      <c r="A1" s="33"/>
      <c r="B1" s="34"/>
      <c r="C1" s="34"/>
      <c r="D1" s="34"/>
      <c r="E1" s="34"/>
      <c r="F1" s="47"/>
      <c r="G1" s="98" t="s">
        <v>20</v>
      </c>
      <c r="H1" s="98"/>
      <c r="I1" s="98"/>
      <c r="J1" s="98"/>
      <c r="K1" s="98"/>
      <c r="L1" s="98"/>
      <c r="M1" s="98"/>
      <c r="N1" s="98"/>
      <c r="O1" s="98"/>
      <c r="P1" s="98"/>
      <c r="Q1" s="37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3" ht="12.75" customHeight="1" thickBot="1" x14ac:dyDescent="0.3">
      <c r="A2" s="35"/>
      <c r="B2" s="36"/>
      <c r="C2" s="36"/>
      <c r="D2" s="36"/>
      <c r="E2" s="36"/>
      <c r="F2" s="36"/>
      <c r="G2" s="102" t="s">
        <v>23</v>
      </c>
      <c r="H2" s="102"/>
      <c r="I2" s="102"/>
      <c r="J2" s="102"/>
      <c r="K2" s="102"/>
      <c r="L2" s="102"/>
      <c r="M2" s="102"/>
      <c r="N2" s="102"/>
      <c r="O2" s="102"/>
      <c r="P2" s="102"/>
      <c r="Q2" s="38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3" s="10" customFormat="1" ht="9.6" customHeight="1" thickBot="1" x14ac:dyDescent="0.35">
      <c r="A3" s="43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" t="e">
        <f>IF(OR(#REF!=9,#REF!=7,#REF!=5),#REF!-(#REF!*POWER(10,#REF!-2)),IF(OR(#REF!=8,#REF!=6,#REF!=4,#REF!=3),#REF!-(#REF!*POWER(10,#REF!-1)),IF(OR(#REF!=2,#REF!=1),"",IF(#REF!=0,"",""))))</f>
        <v>#REF!</v>
      </c>
      <c r="S3" s="3" t="e">
        <f>LEN(R3)</f>
        <v>#REF!</v>
      </c>
      <c r="T3" s="3" t="e">
        <f>IF(S3=0,"",POWER(10,S3-1))</f>
        <v>#REF!</v>
      </c>
      <c r="U3" s="4"/>
      <c r="V3" s="3"/>
      <c r="W3" s="3"/>
      <c r="X3" s="3"/>
      <c r="Y3" s="3"/>
      <c r="Z3" s="5"/>
      <c r="AA3" s="6">
        <v>10</v>
      </c>
      <c r="AB3" s="3" t="s">
        <v>8</v>
      </c>
      <c r="AC3" s="7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9"/>
    </row>
    <row r="4" spans="1:53" ht="18.600000000000001" thickBot="1" x14ac:dyDescent="0.35">
      <c r="A4" s="44"/>
      <c r="B4" s="95" t="s">
        <v>24</v>
      </c>
      <c r="C4" s="96"/>
      <c r="D4" s="99" t="s">
        <v>27</v>
      </c>
      <c r="E4" s="100"/>
      <c r="F4" s="101"/>
      <c r="G4" s="42"/>
      <c r="H4" s="94" t="s">
        <v>36</v>
      </c>
      <c r="I4" s="94"/>
      <c r="J4" s="94"/>
      <c r="K4" s="94"/>
      <c r="L4" s="94"/>
      <c r="M4" s="94"/>
      <c r="N4" s="94"/>
      <c r="O4" s="94"/>
      <c r="P4" s="94"/>
      <c r="Q4" s="38"/>
      <c r="R4" s="14" t="e">
        <f>R6</f>
        <v>#REF!</v>
      </c>
      <c r="S4" s="19" t="e">
        <f>IF(LEN(R4)=2,IF(VALUE(R4)&lt;21,R4,LEFT(R4,1)*10),IF(LEN(R4)=1,R4,"0"))</f>
        <v>#REF!</v>
      </c>
      <c r="T4" s="20" t="e">
        <f>VLOOKUP(VALUE(S4),AA3:AB14,2,FALSE)</f>
        <v>#REF!</v>
      </c>
      <c r="U4" s="21" t="e">
        <f>(R4-S4)</f>
        <v>#REF!</v>
      </c>
      <c r="V4" s="20" t="e">
        <f>VLOOKUP(VALUE(U4),AA3:AB14,2,FALSE)</f>
        <v>#REF!</v>
      </c>
      <c r="W4" s="22"/>
      <c r="X4" s="22"/>
      <c r="Y4" s="22" t="e">
        <f>IF(R4=0,"",CONCATENATE(T4,V4,"Paise "))</f>
        <v>#REF!</v>
      </c>
      <c r="Z4" s="16"/>
      <c r="AA4" s="11">
        <v>16</v>
      </c>
      <c r="AB4" s="17" t="s">
        <v>9</v>
      </c>
      <c r="AC4" s="23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3"/>
    </row>
    <row r="5" spans="1:53" ht="18.600000000000001" thickBot="1" x14ac:dyDescent="0.35">
      <c r="A5" s="44"/>
      <c r="B5" s="40"/>
      <c r="C5" s="48"/>
      <c r="D5" s="103" t="s">
        <v>21</v>
      </c>
      <c r="E5" s="103"/>
      <c r="F5" s="50" t="s">
        <v>22</v>
      </c>
      <c r="G5" s="42"/>
      <c r="H5" s="94"/>
      <c r="I5" s="94"/>
      <c r="J5" s="94"/>
      <c r="K5" s="94"/>
      <c r="L5" s="94"/>
      <c r="M5" s="94"/>
      <c r="N5" s="94"/>
      <c r="O5" s="94"/>
      <c r="P5" s="94"/>
      <c r="Q5" s="38"/>
      <c r="R5" s="14"/>
      <c r="S5" s="15"/>
      <c r="T5" s="32"/>
      <c r="U5" s="21"/>
      <c r="V5" s="32"/>
      <c r="W5" s="22"/>
      <c r="X5" s="22"/>
      <c r="Y5" s="22"/>
      <c r="Z5" s="16"/>
      <c r="AA5" s="11"/>
      <c r="AB5" s="17"/>
      <c r="AC5" s="23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3"/>
    </row>
    <row r="6" spans="1:53" ht="18.600000000000001" thickBot="1" x14ac:dyDescent="0.3">
      <c r="A6" s="44"/>
      <c r="B6" s="95" t="s">
        <v>18</v>
      </c>
      <c r="C6" s="96"/>
      <c r="D6" s="97">
        <v>12523212</v>
      </c>
      <c r="E6" s="97"/>
      <c r="F6" s="54">
        <v>2</v>
      </c>
      <c r="G6" s="42"/>
      <c r="H6" s="94"/>
      <c r="I6" s="94"/>
      <c r="J6" s="94"/>
      <c r="K6" s="94"/>
      <c r="L6" s="94"/>
      <c r="M6" s="94"/>
      <c r="N6" s="94"/>
      <c r="O6" s="94"/>
      <c r="P6" s="94"/>
      <c r="Q6" s="38"/>
      <c r="R6" s="22" t="e">
        <f>IF(#REF!="00",0,#REF!)</f>
        <v>#REF!</v>
      </c>
      <c r="S6" s="22"/>
      <c r="T6" s="24"/>
      <c r="U6" s="21"/>
      <c r="V6" s="24"/>
      <c r="W6" s="24"/>
      <c r="X6" s="24"/>
      <c r="Y6" s="24"/>
      <c r="Z6" s="16"/>
      <c r="AA6" s="11">
        <v>17</v>
      </c>
      <c r="AB6" s="17" t="s">
        <v>10</v>
      </c>
      <c r="AC6" s="18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3"/>
    </row>
    <row r="7" spans="1:53" ht="14.4" customHeight="1" thickBot="1" x14ac:dyDescent="0.3">
      <c r="A7" s="44"/>
      <c r="B7" s="41"/>
      <c r="C7" s="49"/>
      <c r="D7" s="92" t="s">
        <v>41</v>
      </c>
      <c r="E7" s="93"/>
      <c r="F7" s="52" t="s">
        <v>29</v>
      </c>
      <c r="G7" s="42"/>
      <c r="H7" s="94"/>
      <c r="I7" s="94"/>
      <c r="J7" s="94"/>
      <c r="K7" s="94"/>
      <c r="L7" s="94"/>
      <c r="M7" s="94"/>
      <c r="N7" s="94"/>
      <c r="O7" s="94"/>
      <c r="P7" s="94"/>
      <c r="Q7" s="38"/>
      <c r="R7" s="22"/>
      <c r="S7" s="22"/>
      <c r="T7" s="24"/>
      <c r="U7" s="21"/>
      <c r="V7" s="24"/>
      <c r="W7" s="24"/>
      <c r="X7" s="24"/>
      <c r="Y7" s="24"/>
      <c r="Z7" s="16"/>
      <c r="AA7" s="11"/>
      <c r="AB7" s="17"/>
      <c r="AC7" s="18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3"/>
    </row>
    <row r="8" spans="1:53" ht="14.4" customHeight="1" thickBot="1" x14ac:dyDescent="0.3">
      <c r="A8" s="44"/>
      <c r="B8" s="41"/>
      <c r="C8" s="49"/>
      <c r="D8" s="56" t="s">
        <v>39</v>
      </c>
      <c r="E8" s="57" t="s">
        <v>40</v>
      </c>
      <c r="F8" s="52"/>
      <c r="G8" s="42"/>
      <c r="H8" s="94"/>
      <c r="I8" s="94"/>
      <c r="J8" s="94"/>
      <c r="K8" s="94"/>
      <c r="L8" s="94"/>
      <c r="M8" s="94"/>
      <c r="N8" s="94"/>
      <c r="O8" s="94"/>
      <c r="P8" s="94"/>
      <c r="Q8" s="38"/>
      <c r="R8" s="22"/>
      <c r="S8" s="22"/>
      <c r="T8" s="24"/>
      <c r="U8" s="21"/>
      <c r="V8" s="24"/>
      <c r="W8" s="24"/>
      <c r="X8" s="24"/>
      <c r="Y8" s="24"/>
      <c r="Z8" s="16"/>
      <c r="AA8" s="11"/>
      <c r="AB8" s="17"/>
      <c r="AC8" s="18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3"/>
    </row>
    <row r="9" spans="1:53" ht="15" thickBot="1" x14ac:dyDescent="0.3">
      <c r="A9" s="44"/>
      <c r="B9" s="95" t="s">
        <v>19</v>
      </c>
      <c r="C9" s="96"/>
      <c r="D9" s="87">
        <v>45317</v>
      </c>
      <c r="E9" s="88">
        <f>$D$9</f>
        <v>45317</v>
      </c>
      <c r="F9" s="53" t="s">
        <v>31</v>
      </c>
      <c r="G9" s="42"/>
      <c r="H9" s="94"/>
      <c r="I9" s="94"/>
      <c r="J9" s="94"/>
      <c r="K9" s="94"/>
      <c r="L9" s="94"/>
      <c r="M9" s="94"/>
      <c r="N9" s="94"/>
      <c r="O9" s="94"/>
      <c r="P9" s="94"/>
      <c r="Q9" s="38"/>
      <c r="R9" s="16"/>
      <c r="S9" s="16"/>
      <c r="T9" s="16"/>
      <c r="U9" s="25"/>
      <c r="V9" s="16"/>
      <c r="W9" s="16"/>
      <c r="X9" s="16"/>
      <c r="Y9" s="16"/>
      <c r="Z9" s="16"/>
      <c r="AA9" s="11">
        <v>18</v>
      </c>
      <c r="AB9" s="17" t="s">
        <v>15</v>
      </c>
      <c r="AC9" s="18"/>
      <c r="AD9" s="12"/>
      <c r="AE9" s="12"/>
      <c r="AF9" s="12"/>
      <c r="AG9" s="12"/>
      <c r="AH9" s="12"/>
      <c r="AI9" s="12"/>
      <c r="AJ9" s="12"/>
      <c r="AK9" s="12"/>
      <c r="AL9" s="12" t="str">
        <f>LEFT(D9,2)</f>
        <v>45</v>
      </c>
      <c r="AM9" s="12" t="str">
        <f>LEFT(AL9,1)</f>
        <v>4</v>
      </c>
      <c r="AN9" s="12" t="str">
        <f>RIGHT(AL9,1)</f>
        <v>5</v>
      </c>
      <c r="AO9" s="12" t="str">
        <f>LEFT(D9,5)</f>
        <v>45317</v>
      </c>
      <c r="AP9" s="12" t="str">
        <f>RIGHT(AO9,2)</f>
        <v>17</v>
      </c>
      <c r="AQ9" s="12" t="str">
        <f>LEFT(AP9,1)</f>
        <v>1</v>
      </c>
      <c r="AR9" s="12" t="str">
        <f>RIGHT(AP9,1)</f>
        <v>7</v>
      </c>
      <c r="AS9" s="12" t="str">
        <f>RIGHT(D9,4)</f>
        <v>5317</v>
      </c>
      <c r="AT9" s="12" t="str">
        <f>LEFT(AS9,2)</f>
        <v>53</v>
      </c>
      <c r="AU9" s="12" t="str">
        <f>LEFT(AT9,1)</f>
        <v>5</v>
      </c>
      <c r="AV9" s="12" t="str">
        <f>RIGHT(AT9,1)</f>
        <v>3</v>
      </c>
      <c r="AW9" s="12" t="str">
        <f>RIGHT(AS9,2)</f>
        <v>17</v>
      </c>
      <c r="AX9" s="12" t="str">
        <f>LEFT(AW9,1)</f>
        <v>1</v>
      </c>
      <c r="AY9" s="12" t="str">
        <f>RIGHT(AW9,1)</f>
        <v>7</v>
      </c>
      <c r="AZ9" s="12"/>
      <c r="BA9" s="13"/>
    </row>
    <row r="10" spans="1:53" ht="14.4" x14ac:dyDescent="0.25">
      <c r="A10" s="44"/>
      <c r="B10" s="38"/>
      <c r="C10" s="38"/>
      <c r="D10" s="89">
        <f ca="1">TODAY()-90</f>
        <v>45296</v>
      </c>
      <c r="E10" s="89">
        <f ca="1">TODAY()+90</f>
        <v>45476</v>
      </c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16"/>
      <c r="S10" s="16"/>
      <c r="T10" s="16"/>
      <c r="U10" s="25"/>
      <c r="V10" s="16"/>
      <c r="W10" s="16"/>
      <c r="X10" s="16"/>
      <c r="Y10" s="16"/>
      <c r="Z10" s="16"/>
      <c r="AA10" s="11">
        <v>30</v>
      </c>
      <c r="AB10" s="17" t="s">
        <v>11</v>
      </c>
      <c r="AC10" s="18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3"/>
    </row>
    <row r="11" spans="1:53" ht="14.4" x14ac:dyDescent="0.25">
      <c r="A11" s="44"/>
      <c r="B11" s="38"/>
      <c r="C11" s="45"/>
      <c r="D11" s="46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16"/>
      <c r="S11" s="16"/>
      <c r="T11" s="16"/>
      <c r="U11" s="25"/>
      <c r="V11" s="16"/>
      <c r="W11" s="16"/>
      <c r="X11" s="16"/>
      <c r="Y11" s="16"/>
      <c r="Z11" s="16"/>
      <c r="AA11" s="11">
        <v>40</v>
      </c>
      <c r="AB11" s="17" t="s">
        <v>14</v>
      </c>
      <c r="AC11" s="18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3"/>
    </row>
    <row r="12" spans="1:53" ht="14.4" hidden="1" x14ac:dyDescent="0.25">
      <c r="E12" s="2" t="s">
        <v>28</v>
      </c>
      <c r="F12" s="51" t="str" cm="1">
        <f t="array" ref="F12">_xlfn.IFS(J12="Spread",F17,J12="Slashes",F18,J12="Default",F19)</f>
        <v xml:space="preserve">0   1      2  6      2   0   2   4 </v>
      </c>
      <c r="I12" s="2" t="s">
        <v>30</v>
      </c>
      <c r="J12" s="51" t="str">
        <f>F9</f>
        <v>Spread</v>
      </c>
      <c r="R12" s="27"/>
      <c r="S12" s="27"/>
      <c r="T12" s="27"/>
      <c r="U12" s="28"/>
      <c r="V12" s="27"/>
      <c r="W12" s="27"/>
      <c r="X12" s="27"/>
      <c r="Y12" s="27"/>
      <c r="Z12" s="27"/>
      <c r="AA12" s="29">
        <v>70</v>
      </c>
      <c r="AB12" s="30" t="s">
        <v>12</v>
      </c>
      <c r="AC12" s="31"/>
    </row>
    <row r="13" spans="1:53" ht="14.4" hidden="1" x14ac:dyDescent="0.25">
      <c r="E13" s="2" t="s">
        <v>16</v>
      </c>
      <c r="G13" s="2" t="str">
        <f>"** "&amp;$D$4&amp;" **"</f>
        <v>** Sofia the First **</v>
      </c>
      <c r="R13" s="27"/>
      <c r="S13" s="27"/>
      <c r="T13" s="27"/>
      <c r="U13" s="28"/>
      <c r="V13" s="27"/>
      <c r="W13" s="27"/>
      <c r="X13" s="27"/>
      <c r="Y13" s="27"/>
      <c r="Z13" s="27"/>
      <c r="AA13" s="29">
        <v>80</v>
      </c>
      <c r="AB13" s="30" t="s">
        <v>17</v>
      </c>
      <c r="AC13" s="31"/>
    </row>
    <row r="14" spans="1:53" ht="13.2" hidden="1" x14ac:dyDescent="0.25">
      <c r="D14" s="2" t="s">
        <v>25</v>
      </c>
      <c r="E14" s="91">
        <f>VALUE(D6 &amp; "." &amp; G14)</f>
        <v>12523212.02</v>
      </c>
      <c r="F14" s="91"/>
      <c r="G14" s="2" t="str">
        <f>REPT("0",2-LEN(F6))&amp;F6</f>
        <v>02</v>
      </c>
      <c r="R14" s="27"/>
      <c r="S14" s="27"/>
      <c r="T14" s="27"/>
      <c r="U14" s="28"/>
      <c r="V14" s="27"/>
      <c r="W14" s="27"/>
      <c r="X14" s="27"/>
      <c r="Y14" s="27"/>
      <c r="Z14" s="27"/>
      <c r="AA14" s="29">
        <v>0</v>
      </c>
      <c r="AB14" s="29" t="s">
        <v>13</v>
      </c>
      <c r="AC14" s="31"/>
    </row>
    <row r="15" spans="1:53" ht="13.2" hidden="1" customHeight="1" x14ac:dyDescent="0.25">
      <c r="D15" s="2" t="s">
        <v>26</v>
      </c>
      <c r="E15" s="2" t="str" cm="1">
        <f t="array" ref="E15">UPPER(IF($D$6&gt;1,TRIM(spellNumber(D6)) &amp; " pesos",""))</f>
        <v>TWELVE MILLION FIVE HUNDRED TWENTY THREE THOUSAND TWO HUNDRED TWELVE PESOS</v>
      </c>
    </row>
    <row r="16" spans="1:53" ht="13.2" hidden="1" customHeight="1" x14ac:dyDescent="0.25">
      <c r="E16" s="2" t="str" cm="1">
        <f t="array" ref="E16">IF($F$6&gt;1,TRIM(spellNumber(F6)) &amp; " centavos", IF($F$6=1,TRIM(spellNumber(F6)) &amp; " centavo",""))</f>
        <v>Two centavos</v>
      </c>
    </row>
    <row r="17" spans="4:10" ht="13.2" hidden="1" customHeight="1" x14ac:dyDescent="0.25">
      <c r="D17" s="2" t="s">
        <v>32</v>
      </c>
      <c r="E17" s="2" t="s">
        <v>33</v>
      </c>
      <c r="F17" s="55" t="str">
        <f>F22&amp;"      " &amp;G22&amp;"      " &amp;H22 &amp; " "</f>
        <v xml:space="preserve">0   1      2  6      2   0   2   4 </v>
      </c>
    </row>
    <row r="18" spans="4:10" ht="13.2" hidden="1" customHeight="1" x14ac:dyDescent="0.25">
      <c r="D18" s="2" t="s">
        <v>32</v>
      </c>
      <c r="E18" s="2" t="s">
        <v>34</v>
      </c>
      <c r="F18" s="55" t="str">
        <f>SUBSTITUTE(G18,"-","/")</f>
        <v>01/26/2024</v>
      </c>
      <c r="G18" s="2" t="str">
        <f>TEXT(E9,"mm-dd-yyyy")</f>
        <v>01-26-2024</v>
      </c>
    </row>
    <row r="19" spans="4:10" ht="13.2" hidden="1" customHeight="1" x14ac:dyDescent="0.25">
      <c r="D19" s="2" t="s">
        <v>32</v>
      </c>
      <c r="E19" s="2" t="s">
        <v>35</v>
      </c>
      <c r="F19" s="55" t="str">
        <f>TEXT(E9,"mm/dd/yyyy")</f>
        <v>01/26/2024</v>
      </c>
    </row>
    <row r="20" spans="4:10" ht="13.2" hidden="1" customHeight="1" x14ac:dyDescent="0.25"/>
    <row r="21" spans="4:10" ht="13.2" hidden="1" customHeight="1" x14ac:dyDescent="0.25">
      <c r="F21" s="2" t="str">
        <f>LEFT($G$18,2)</f>
        <v>01</v>
      </c>
      <c r="G21" s="2" t="str">
        <f>MID($G$18,FIND("-",$G$18,1)+1,2)</f>
        <v>26</v>
      </c>
      <c r="H21" s="2" t="str">
        <f>RIGHT(G18,4)</f>
        <v>2024</v>
      </c>
    </row>
    <row r="22" spans="4:10" ht="13.2" hidden="1" customHeight="1" x14ac:dyDescent="0.25">
      <c r="F22" s="2" t="str">
        <f>LEFT(F21,1) &amp; "   " &amp; RIGHT(F21,1)</f>
        <v>0   1</v>
      </c>
      <c r="G22" s="2" t="str">
        <f>LEFT(G21,1) &amp; "  " &amp; RIGHT(G21,1)</f>
        <v>2  6</v>
      </c>
      <c r="H22" s="2" t="str">
        <f>LEFT(H21,1) &amp; "   " &amp; MID(H21,2,1) &amp; "   " &amp; MID(H21,3,1) &amp; "   " &amp; MID(H21,4,1)</f>
        <v>2   0   2   4</v>
      </c>
      <c r="I22" s="2" t="str">
        <f t="shared" ref="I22:J22" si="0">LEFT(I21,1) &amp; "    " &amp; RIGHT(I21,1)</f>
        <v xml:space="preserve">    </v>
      </c>
      <c r="J22" s="2" t="str">
        <f t="shared" si="0"/>
        <v xml:space="preserve">    </v>
      </c>
    </row>
    <row r="23" spans="4:10" ht="13.2" hidden="1" customHeight="1" x14ac:dyDescent="0.25"/>
    <row r="24" spans="4:10" ht="13.2" hidden="1" customHeight="1" x14ac:dyDescent="0.25">
      <c r="E24" s="90">
        <f ca="1">TODAY() - 8</f>
        <v>45378</v>
      </c>
    </row>
    <row r="25" spans="4:10" ht="13.2" hidden="1" customHeight="1" x14ac:dyDescent="0.25"/>
    <row r="26" spans="4:10" ht="13.2" hidden="1" customHeight="1" x14ac:dyDescent="0.25"/>
    <row r="27" spans="4:10" ht="13.2" hidden="1" customHeight="1" x14ac:dyDescent="0.25"/>
    <row r="28" spans="4:10" ht="13.2" hidden="1" customHeight="1" x14ac:dyDescent="0.25"/>
    <row r="29" spans="4:10" ht="13.2" hidden="1" customHeight="1" x14ac:dyDescent="0.25"/>
    <row r="30" spans="4:10" ht="13.2" hidden="1" customHeight="1" x14ac:dyDescent="0.25"/>
    <row r="31" spans="4:10" ht="13.2" hidden="1" customHeight="1" x14ac:dyDescent="0.25"/>
    <row r="32" spans="4:10" ht="13.2" hidden="1" customHeight="1" x14ac:dyDescent="0.25"/>
    <row r="33" ht="13.2" hidden="1" customHeight="1" x14ac:dyDescent="0.25"/>
    <row r="34" ht="13.2" hidden="1" customHeight="1" x14ac:dyDescent="0.25"/>
    <row r="35" ht="13.2" hidden="1" customHeight="1" x14ac:dyDescent="0.25"/>
    <row r="36" ht="13.2" hidden="1" customHeight="1" x14ac:dyDescent="0.25"/>
    <row r="37" ht="13.2" hidden="1" customHeight="1" x14ac:dyDescent="0.25"/>
    <row r="38" ht="13.2" hidden="1" customHeight="1" x14ac:dyDescent="0.25"/>
    <row r="39" ht="13.2" hidden="1" customHeight="1" x14ac:dyDescent="0.25"/>
  </sheetData>
  <sheetProtection selectLockedCells="1"/>
  <mergeCells count="11">
    <mergeCell ref="G1:P1"/>
    <mergeCell ref="D4:F4"/>
    <mergeCell ref="G2:P2"/>
    <mergeCell ref="D5:E5"/>
    <mergeCell ref="B4:C4"/>
    <mergeCell ref="E14:F14"/>
    <mergeCell ref="D7:E7"/>
    <mergeCell ref="H4:P9"/>
    <mergeCell ref="B9:C9"/>
    <mergeCell ref="D6:E6"/>
    <mergeCell ref="B6:C6"/>
  </mergeCells>
  <dataValidations count="5">
    <dataValidation type="list" showErrorMessage="1" errorTitle="Cannot Add New Item" error="Only use the ones in the list" sqref="F9" xr:uid="{77B2977F-5129-451B-8B7A-7917572407BA}">
      <formula1>"Spread, Slashes, Default"</formula1>
    </dataValidation>
    <dataValidation type="whole" allowBlank="1" showInputMessage="1" showErrorMessage="1" error="Only Whole Numbers are allowed. Minimum Value is 0 and maximum is 100,000,000" sqref="D6:E6" xr:uid="{103C1868-E833-45E5-9701-F115870CC2A7}">
      <formula1>0</formula1>
      <formula2>1000000000</formula2>
    </dataValidation>
    <dataValidation type="whole" allowBlank="1" showInputMessage="1" showErrorMessage="1" errorTitle="Error in Centavos" error="Only whole numbers are allowed. Maximum value is 99 and minimum value is 0" sqref="F6" xr:uid="{2D2E0C8B-A6CE-4F16-ADE3-A8317196F653}">
      <formula1>0</formula1>
      <formula2>99</formula2>
    </dataValidation>
    <dataValidation type="date" errorStyle="warning" allowBlank="1" showInputMessage="1" showErrorMessage="1" errorTitle="Invalid Date Range" error="Date Inputted is beyond the 90 day allowance set by the developer. Date should be 90 days advance or retroactive from today." sqref="D9" xr:uid="{D6962842-C730-44E3-92C2-4F4B23D95418}">
      <formula1>D10</formula1>
      <formula2>E10</formula2>
    </dataValidation>
    <dataValidation type="date" operator="equal" allowBlank="1" showErrorMessage="1" errorTitle="Cannot Input Data" error="This is uneditable" sqref="E9" xr:uid="{3B9F0D5E-FF28-4AFE-A5DB-1F08D0C2DC18}">
      <formula1>D9</formula1>
    </dataValidation>
  </dataValidations>
  <pageMargins left="0.54" right="0.2" top="0.3" bottom="1" header="0.3" footer="0.5"/>
  <pageSetup paperSize="27" scale="65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18580-817D-4C7F-9709-4CBBFA40EF2D}">
  <sheetPr codeName="Sheet3"/>
  <dimension ref="A1:B3"/>
  <sheetViews>
    <sheetView tabSelected="1" workbookViewId="0">
      <selection activeCell="H7" sqref="H7"/>
    </sheetView>
  </sheetViews>
  <sheetFormatPr defaultRowHeight="13.2" x14ac:dyDescent="0.25"/>
  <sheetData>
    <row r="1" spans="1:2" x14ac:dyDescent="0.25">
      <c r="A1" s="86" t="s">
        <v>37</v>
      </c>
    </row>
    <row r="2" spans="1:2" x14ac:dyDescent="0.25">
      <c r="A2" s="86" t="s">
        <v>38</v>
      </c>
    </row>
    <row r="3" spans="1:2" x14ac:dyDescent="0.25">
      <c r="B3" t="str">
        <f>"-defined range to +/- 90 days"</f>
        <v>-defined range to +/- 90 days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H14"/>
  <sheetViews>
    <sheetView showGridLines="0" zoomScaleNormal="100" zoomScaleSheetLayoutView="120" workbookViewId="0">
      <selection activeCell="O3" sqref="O3:W3"/>
    </sheetView>
  </sheetViews>
  <sheetFormatPr defaultColWidth="0" defaultRowHeight="13.2" zeroHeight="1" x14ac:dyDescent="0.25"/>
  <cols>
    <col min="1" max="1" width="4.33203125" style="85" customWidth="1"/>
    <col min="2" max="2" width="7.5546875" style="61" customWidth="1"/>
    <col min="3" max="3" width="5.88671875" style="61" customWidth="1"/>
    <col min="4" max="4" width="3.5546875" style="61" customWidth="1"/>
    <col min="5" max="5" width="5.21875" style="61" customWidth="1"/>
    <col min="6" max="6" width="6.6640625" style="61" customWidth="1"/>
    <col min="7" max="7" width="11.44140625" style="61" customWidth="1"/>
    <col min="8" max="9" width="9.109375" style="61" customWidth="1"/>
    <col min="10" max="12" width="9" style="61" customWidth="1"/>
    <col min="13" max="13" width="3.5546875" style="61" customWidth="1"/>
    <col min="14" max="14" width="4.88671875" style="61" customWidth="1"/>
    <col min="15" max="15" width="3.88671875" style="61" customWidth="1"/>
    <col min="16" max="16" width="2.88671875" style="61" customWidth="1"/>
    <col min="17" max="17" width="3.6640625" style="61" customWidth="1"/>
    <col min="18" max="18" width="4.33203125" style="61" customWidth="1"/>
    <col min="19" max="19" width="3" style="61" customWidth="1"/>
    <col min="20" max="20" width="2.88671875" style="61" customWidth="1"/>
    <col min="21" max="21" width="2.6640625" style="61" customWidth="1"/>
    <col min="22" max="24" width="3" style="61" customWidth="1"/>
    <col min="25" max="25" width="2.44140625" style="61" customWidth="1"/>
    <col min="26" max="32" width="9.109375" style="61" hidden="1" customWidth="1"/>
    <col min="33" max="33" width="23.5546875" style="61" hidden="1" customWidth="1"/>
    <col min="34" max="34" width="66.44140625" style="61" hidden="1" customWidth="1"/>
    <col min="35" max="46" width="9.109375" style="61" hidden="1" customWidth="1"/>
    <col min="47" max="48" width="1.88671875" style="61" hidden="1" customWidth="1"/>
    <col min="49" max="58" width="9.109375" style="61" hidden="1" customWidth="1"/>
    <col min="59" max="59" width="0.6640625" style="61" hidden="1" customWidth="1"/>
    <col min="60" max="60" width="1.5546875" style="61" hidden="1" customWidth="1"/>
    <col min="61" max="61" width="9.109375" style="61" hidden="1" customWidth="1"/>
    <col min="62" max="16384" width="9.109375" style="61" hidden="1"/>
  </cols>
  <sheetData>
    <row r="1" spans="1:60" s="60" customFormat="1" ht="12.75" customHeight="1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9"/>
      <c r="Q1" s="59"/>
      <c r="R1" s="59"/>
      <c r="S1" s="59"/>
      <c r="T1" s="59"/>
      <c r="U1" s="59"/>
      <c r="V1" s="59"/>
      <c r="W1" s="59"/>
      <c r="X1" s="59"/>
      <c r="Y1" s="59"/>
    </row>
    <row r="2" spans="1:60" ht="28.2" customHeight="1" x14ac:dyDescent="0.25">
      <c r="A2" s="61"/>
      <c r="P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</row>
    <row r="3" spans="1:60" ht="15" customHeight="1" x14ac:dyDescent="0.25">
      <c r="A3" s="61"/>
      <c r="B3" s="112"/>
      <c r="C3" s="63"/>
      <c r="O3" s="113" t="str">
        <f>'Cheque Editor'!F12</f>
        <v xml:space="preserve">0   1      2  6      2   0   2   4 </v>
      </c>
      <c r="P3" s="113"/>
      <c r="Q3" s="113"/>
      <c r="R3" s="113"/>
      <c r="S3" s="113"/>
      <c r="T3" s="113"/>
      <c r="U3" s="113"/>
      <c r="V3" s="113"/>
      <c r="W3" s="113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</row>
    <row r="4" spans="1:60" ht="9" customHeight="1" x14ac:dyDescent="0.35">
      <c r="A4" s="61"/>
      <c r="B4" s="112"/>
      <c r="C4" s="63"/>
      <c r="D4" s="64"/>
      <c r="E4" s="64"/>
      <c r="F4" s="64"/>
      <c r="G4" s="64"/>
      <c r="H4" s="64"/>
      <c r="I4" s="65"/>
      <c r="J4" s="65"/>
      <c r="K4" s="65"/>
      <c r="L4" s="65"/>
      <c r="M4" s="65"/>
      <c r="N4" s="65"/>
      <c r="O4" s="65"/>
      <c r="P4" s="65"/>
      <c r="Q4" s="65"/>
      <c r="R4" s="66"/>
      <c r="S4" s="66"/>
      <c r="T4" s="66"/>
      <c r="U4" s="67"/>
      <c r="V4" s="67"/>
      <c r="W4" s="67"/>
      <c r="X4" s="67"/>
      <c r="Y4" s="67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</row>
    <row r="5" spans="1:60" ht="22.8" customHeight="1" x14ac:dyDescent="0.35">
      <c r="A5" s="61"/>
      <c r="B5" s="112"/>
      <c r="C5" s="63"/>
      <c r="D5" s="105" t="str">
        <f>'Cheque Editor'!G13</f>
        <v>** Sofia the First **</v>
      </c>
      <c r="E5" s="105"/>
      <c r="F5" s="105"/>
      <c r="G5" s="105"/>
      <c r="H5" s="105"/>
      <c r="I5" s="105"/>
      <c r="J5" s="105"/>
      <c r="K5" s="105"/>
      <c r="L5" s="105"/>
      <c r="M5" s="68"/>
      <c r="N5" s="107">
        <f>'Cheque Editor'!$E$14</f>
        <v>12523212.02</v>
      </c>
      <c r="O5" s="107"/>
      <c r="P5" s="107"/>
      <c r="Q5" s="107"/>
      <c r="R5" s="107"/>
      <c r="S5" s="107"/>
      <c r="T5" s="107"/>
      <c r="U5" s="107"/>
      <c r="V5" s="107"/>
      <c r="W5" s="107"/>
      <c r="X5" s="69"/>
      <c r="Y5" s="69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</row>
    <row r="6" spans="1:60" ht="3.6" customHeight="1" x14ac:dyDescent="0.35">
      <c r="A6" s="61"/>
      <c r="B6" s="63"/>
      <c r="C6" s="63"/>
      <c r="D6" s="68"/>
      <c r="E6" s="68"/>
      <c r="F6" s="68"/>
      <c r="G6" s="68"/>
      <c r="H6" s="68"/>
      <c r="I6" s="68"/>
      <c r="J6" s="68"/>
      <c r="K6" s="68"/>
      <c r="L6" s="68"/>
      <c r="M6" s="68"/>
      <c r="N6" s="70"/>
      <c r="O6" s="70"/>
      <c r="P6" s="70"/>
      <c r="Q6" s="70"/>
      <c r="R6" s="70"/>
      <c r="S6" s="70"/>
      <c r="T6" s="70"/>
      <c r="U6" s="70"/>
      <c r="V6" s="70"/>
      <c r="W6" s="70"/>
      <c r="X6" s="69"/>
      <c r="Y6" s="69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</row>
    <row r="7" spans="1:60" ht="24" customHeight="1" x14ac:dyDescent="0.3">
      <c r="A7" s="61"/>
      <c r="B7" s="69"/>
      <c r="C7" s="106" t="str">
        <f>UPPER('Cheque Editor'!$E$15 &amp; IF( 'Cheque Editor'!$E$16 ="", "", " and " &amp; 'Cheque Editor'!$E$16))</f>
        <v>TWELVE MILLION FIVE HUNDRED TWENTY THREE THOUSAND TWO HUNDRED TWELVE PESOS AND TWO CENTAVOS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6"/>
      <c r="Y7" s="65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</row>
    <row r="8" spans="1:60" ht="39.75" customHeight="1" x14ac:dyDescent="0.3">
      <c r="A8" s="61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65"/>
      <c r="Z8" s="71"/>
      <c r="AA8" s="104" t="s">
        <v>1</v>
      </c>
      <c r="AB8" s="104"/>
      <c r="AC8" s="104"/>
      <c r="AD8" s="104"/>
      <c r="AE8" s="104"/>
      <c r="AF8" s="104"/>
      <c r="AG8" s="104"/>
      <c r="AH8" s="104"/>
      <c r="AI8" s="104"/>
      <c r="AJ8" s="104"/>
      <c r="AK8" s="71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</row>
    <row r="9" spans="1:60" s="72" customFormat="1" ht="40.5" customHeight="1" x14ac:dyDescent="0.3">
      <c r="B9" s="73"/>
      <c r="C9" s="73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73"/>
      <c r="Q9" s="73"/>
      <c r="R9" s="110"/>
      <c r="S9" s="110"/>
      <c r="T9" s="110"/>
      <c r="U9" s="110"/>
      <c r="V9" s="110"/>
      <c r="W9" s="110"/>
      <c r="X9" s="110"/>
      <c r="Y9" s="110"/>
      <c r="Z9" s="74"/>
      <c r="AA9" s="74"/>
      <c r="AB9" s="74"/>
      <c r="AC9" s="74"/>
      <c r="AD9" s="74"/>
      <c r="AE9" s="74"/>
      <c r="AF9" s="74"/>
      <c r="AG9" s="74"/>
      <c r="AH9" s="74"/>
      <c r="AI9" s="75">
        <v>1</v>
      </c>
      <c r="AJ9" s="74" t="s">
        <v>2</v>
      </c>
      <c r="AK9" s="76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</row>
    <row r="10" spans="1:60" ht="8.25" customHeight="1" x14ac:dyDescent="0.3">
      <c r="A10" s="61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Z10" s="74"/>
      <c r="AA10" s="74"/>
      <c r="AB10" s="74"/>
      <c r="AC10" s="74"/>
      <c r="AD10" s="74"/>
      <c r="AE10" s="74"/>
      <c r="AF10" s="74"/>
      <c r="AG10" s="74"/>
      <c r="AH10" s="74"/>
      <c r="AI10" s="75">
        <v>2</v>
      </c>
      <c r="AJ10" s="74" t="s">
        <v>3</v>
      </c>
      <c r="AK10" s="79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</row>
    <row r="11" spans="1:60" ht="7.8" customHeight="1" x14ac:dyDescent="0.3">
      <c r="A11" s="61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Z11" s="74"/>
      <c r="AA11" s="74"/>
      <c r="AB11" s="74"/>
      <c r="AC11" s="74"/>
      <c r="AD11" s="74"/>
      <c r="AE11" s="74"/>
      <c r="AF11" s="74"/>
      <c r="AG11" s="74"/>
      <c r="AH11" s="74"/>
      <c r="AI11" s="75">
        <v>3</v>
      </c>
      <c r="AJ11" s="74" t="s">
        <v>4</v>
      </c>
      <c r="AK11" s="79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</row>
    <row r="12" spans="1:60" ht="8.25" customHeight="1" x14ac:dyDescent="0.35">
      <c r="A12" s="61"/>
      <c r="D12" s="78"/>
      <c r="E12" s="78"/>
      <c r="F12" s="78"/>
      <c r="G12" s="80"/>
      <c r="H12" s="78"/>
      <c r="I12" s="78"/>
      <c r="J12" s="78"/>
      <c r="K12" s="78"/>
      <c r="L12" s="78"/>
      <c r="M12" s="78"/>
      <c r="N12" s="78"/>
      <c r="O12" s="109" t="s">
        <v>0</v>
      </c>
      <c r="P12" s="109"/>
      <c r="Q12" s="81"/>
      <c r="Z12" s="74" t="e">
        <f>IF(LEN(S12)&gt;9,"",#REF!)</f>
        <v>#REF!</v>
      </c>
      <c r="AA12" s="74" t="e">
        <f>LEN(Z12)</f>
        <v>#REF!</v>
      </c>
      <c r="AB12" s="74" t="e">
        <f>IF(AA12=0,"",POWER(10,AA12-1))</f>
        <v>#REF!</v>
      </c>
      <c r="AC12" s="74"/>
      <c r="AD12" s="74"/>
      <c r="AE12" s="74"/>
      <c r="AF12" s="74"/>
      <c r="AG12" s="74" t="str">
        <f>IF(OR(AA11=9,AA11=8),CONCATENATE(AD12," ",AF12,"Crore"),IF(OR(AA11=7,AA11=6),CONCATENATE(AD12," ",AF12,"Lacs"),IF(OR(AA11=5,AA11=4),CONCATENATE(AD12," ",AF12,"Thousand"),IF(AA11=3,CONCATENATE(AD12," Hundred"),IF(AA11=2,CONCATENATE(AD12," ",AF12),IF(AA11=1,VLOOKUP(AC12,AI8:AJ14,2,FALSE),""))))))</f>
        <v/>
      </c>
      <c r="AH12" s="74"/>
      <c r="AI12" s="75">
        <v>4</v>
      </c>
      <c r="AJ12" s="74" t="s">
        <v>5</v>
      </c>
      <c r="AK12" s="79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</row>
    <row r="13" spans="1:60" ht="19.2" hidden="1" x14ac:dyDescent="0.35">
      <c r="A13" s="61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82"/>
      <c r="P13" s="83"/>
      <c r="Q13" s="83"/>
      <c r="Z13" s="74"/>
      <c r="AA13" s="74"/>
      <c r="AB13" s="74" t="e">
        <f>IF(OR(AA12=9,AA12=7,AA12=5),LEFT(Z12,2),IF(OR(AA12=8,AA12=6,AA12=4,AA12=3),LEFT(Z12,1),IF(OR(AA12=2,AA12=1),Z12,IF(AA12=0,"0","0"))))</f>
        <v>#REF!</v>
      </c>
      <c r="AC13" s="74" t="e">
        <f>IF(LEN(AB13)=2,IF(VALUE(AB13)&lt;21,AB13,LEFT(AB13,1)*10),IF(LEN(AB13)=1,AB13,"0"))</f>
        <v>#REF!</v>
      </c>
      <c r="AD13" s="74" t="e">
        <f>VLOOKUP(VALUE(AC13),AI9:AJ14,2,FALSE)</f>
        <v>#REF!</v>
      </c>
      <c r="AE13" s="74" t="e">
        <f>AB13-AC13</f>
        <v>#REF!</v>
      </c>
      <c r="AF13" s="74" t="e">
        <f>IF(VALUE(AE13)=0,"",VLOOKUP(VALUE(AE13),AI9:AJ14,2,FALSE))</f>
        <v>#REF!</v>
      </c>
      <c r="AG13" s="74" t="e">
        <f>IF(OR(AA12=9,AA12=8),CONCATENATE(AD13,AF13,"Crore "),IF(OR(AA12=7,AA12=6),CONCATENATE(AD13,AF13,"Lac "),IF(OR(AA12=5,AA12=4),CONCATENATE(AD13,AF13,"Thousand "),IF(AA12=3,CONCATENATE(AD13,"Hundred "),IF(AA12=2,CONCATENATE(AD13," ",AF13),IF(AA12=1,AD13," "))))))</f>
        <v>#REF!</v>
      </c>
      <c r="AH13" s="74" t="e">
        <f>IF(LEN(#REF!)&gt;9,"Please Enter Maximum 9 Digit Number Only",IF(ISNUMBER(#REF!)=FALSE,"Please Enter Number Only",CONCATENATE(AG13,#REF!,#REF!,#REF!,#REF!,IF(#REF!=0,"","And "),#REF!)))</f>
        <v>#REF!</v>
      </c>
      <c r="AI13" s="75">
        <v>5</v>
      </c>
      <c r="AJ13" s="74" t="s">
        <v>6</v>
      </c>
      <c r="AK13" s="79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</row>
    <row r="14" spans="1:60" ht="3.75" hidden="1" customHeight="1" x14ac:dyDescent="0.3">
      <c r="A14" s="61"/>
      <c r="J14" s="84"/>
      <c r="K14" s="84"/>
      <c r="L14" s="84"/>
      <c r="M14" s="84"/>
      <c r="N14" s="84"/>
      <c r="Z14" s="74" t="e">
        <f>IF(OR(AA12=9,AA12=7,AA12=5),Z12-(AB13*POWER(10,AA12-2)),IF(OR(AA12=8,AA12=6,AA12=4,AA12=3),Z12-(AB13*POWER(10,AA12-1)),IF(OR(AA12=2,AA12=1),"",IF(AA12=0,"",""))))</f>
        <v>#REF!</v>
      </c>
      <c r="AA14" s="74" t="e">
        <f>LEN(Z14)</f>
        <v>#REF!</v>
      </c>
      <c r="AB14" s="74" t="e">
        <f>IF(AA14=0,"",POWER(10,AA14-1))</f>
        <v>#REF!</v>
      </c>
      <c r="AC14" s="74"/>
      <c r="AD14" s="74"/>
      <c r="AE14" s="74"/>
      <c r="AF14" s="74"/>
      <c r="AG14" s="74"/>
      <c r="AH14" s="74"/>
      <c r="AI14" s="75">
        <v>6</v>
      </c>
      <c r="AJ14" s="74" t="s">
        <v>7</v>
      </c>
      <c r="AK14" s="79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</row>
  </sheetData>
  <sheetProtection selectLockedCells="1"/>
  <mergeCells count="10">
    <mergeCell ref="O12:P12"/>
    <mergeCell ref="R9:Y9"/>
    <mergeCell ref="D9:O9"/>
    <mergeCell ref="B3:B5"/>
    <mergeCell ref="O3:W3"/>
    <mergeCell ref="AA8:AJ8"/>
    <mergeCell ref="D5:L5"/>
    <mergeCell ref="C7:X7"/>
    <mergeCell ref="N5:W5"/>
    <mergeCell ref="B8:X8"/>
  </mergeCells>
  <phoneticPr fontId="2" type="noConversion"/>
  <pageMargins left="0.55118110236220474" right="0.19685039370078741" top="0.31496062992125984" bottom="0.98425196850393704" header="0.31496062992125984" footer="0.51181102362204722"/>
  <pageSetup paperSize="27" scale="385" fitToWidth="0" orientation="landscape" r:id="rId1"/>
  <headerFooter alignWithMargins="0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Cheque Editor</vt:lpstr>
      <vt:lpstr>Changelogs</vt:lpstr>
      <vt:lpstr>Cheque Print</vt:lpstr>
      <vt:lpstr>'Cheque Print'!Print_Area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rey</dc:creator>
  <cp:lastModifiedBy>Rey Torrecampo</cp:lastModifiedBy>
  <cp:lastPrinted>2018-02-05T10:50:06Z</cp:lastPrinted>
  <dcterms:created xsi:type="dcterms:W3CDTF">2009-12-26T07:43:55Z</dcterms:created>
  <dcterms:modified xsi:type="dcterms:W3CDTF">2024-04-04T15:44:48Z</dcterms:modified>
</cp:coreProperties>
</file>